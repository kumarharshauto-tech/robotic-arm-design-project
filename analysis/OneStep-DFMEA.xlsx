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CW2PEPF00007099\EXCELCNV\b81b5732-de1c-4641-9e61-a4b0fbd735e5\"/>
    </mc:Choice>
  </mc:AlternateContent>
  <xr:revisionPtr revIDLastSave="551" documentId="8_{0EB16B58-619F-42DD-A8FD-68F88CE2855B}" xr6:coauthVersionLast="47" xr6:coauthVersionMax="47" xr10:uidLastSave="{B5C1B20E-D9FB-436C-8674-78934D6C57B1}"/>
  <bookViews>
    <workbookView xWindow="-60" yWindow="-60" windowWidth="15480" windowHeight="11640" xr2:uid="{017F3764-CD42-4828-86EB-E0614BB7A7A8}"/>
  </bookViews>
  <sheets>
    <sheet name="FMEA" sheetId="1" r:id="rId1"/>
    <sheet name="Hel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7" i="1"/>
  <c r="K9" i="1"/>
  <c r="K13" i="1"/>
  <c r="R8" i="1"/>
  <c r="R9" i="1"/>
  <c r="R10" i="1"/>
  <c r="R11" i="1"/>
  <c r="R12" i="1"/>
  <c r="R13" i="1"/>
  <c r="R14" i="1"/>
  <c r="R15" i="1"/>
  <c r="R16" i="1"/>
  <c r="R18" i="1"/>
  <c r="R19" i="1"/>
  <c r="R20" i="1"/>
  <c r="R21" i="1"/>
  <c r="R22" i="1"/>
  <c r="R23" i="1"/>
  <c r="R24" i="1"/>
  <c r="R25" i="1"/>
  <c r="R26" i="1"/>
  <c r="K8" i="1"/>
  <c r="K10" i="1"/>
  <c r="K11" i="1"/>
  <c r="K12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Shinto Mathew</author>
  </authors>
  <commentList>
    <comment ref="F5" authorId="0" shapeId="0" xr:uid="{CBBC1BA7-1914-4F9C-B205-5B8551E54F35}">
      <text>
        <r>
          <rPr>
            <b/>
            <sz val="8"/>
            <color indexed="81"/>
            <rFont val="Tahoma"/>
            <family val="2"/>
          </rPr>
          <t xml:space="preserve">Severity Rating
</t>
        </r>
        <r>
          <rPr>
            <sz val="8"/>
            <color indexed="81"/>
            <rFont val="Tahoma"/>
            <family val="2"/>
          </rPr>
          <t>Check help sheet to find the right rating</t>
        </r>
      </text>
    </comment>
    <comment ref="H5" authorId="0" shapeId="0" xr:uid="{EA4FBA0F-8203-46BD-ACBF-DF1419DC74AA}">
      <text>
        <r>
          <rPr>
            <b/>
            <sz val="8"/>
            <color indexed="81"/>
            <rFont val="Tahoma"/>
            <family val="2"/>
          </rPr>
          <t xml:space="preserve">Occurrence Rating
</t>
        </r>
        <r>
          <rPr>
            <sz val="8"/>
            <color indexed="81"/>
            <rFont val="Tahoma"/>
            <family val="2"/>
          </rPr>
          <t>Check help sheet to find the right rating</t>
        </r>
      </text>
    </comment>
    <comment ref="J5" authorId="0" shapeId="0" xr:uid="{2E24B465-C024-47C6-A238-0191BBAB10D5}">
      <text>
        <r>
          <rPr>
            <b/>
            <sz val="8"/>
            <color indexed="81"/>
            <rFont val="Tahoma"/>
            <charset val="1"/>
          </rPr>
          <t xml:space="preserve">Detection Rating
</t>
        </r>
        <r>
          <rPr>
            <sz val="8"/>
            <color indexed="81"/>
            <rFont val="Tahoma"/>
            <family val="2"/>
          </rPr>
          <t>Check help sheet to find the right rating</t>
        </r>
      </text>
    </comment>
  </commentList>
</comments>
</file>

<file path=xl/sharedStrings.xml><?xml version="1.0" encoding="utf-8"?>
<sst xmlns="http://schemas.openxmlformats.org/spreadsheetml/2006/main" count="214" uniqueCount="200">
  <si>
    <t>DFMEA Template</t>
  </si>
  <si>
    <t>MEADinfo Product</t>
  </si>
  <si>
    <t>Prepared By:</t>
  </si>
  <si>
    <t>ONESTEP (Group 06)</t>
  </si>
  <si>
    <t>FMEA No/Rev:</t>
  </si>
  <si>
    <t>0000/01</t>
  </si>
  <si>
    <t>Date:</t>
  </si>
  <si>
    <t>Process/Component:</t>
  </si>
  <si>
    <t>ROBOT ARM</t>
  </si>
  <si>
    <t>Item</t>
  </si>
  <si>
    <t>Function</t>
  </si>
  <si>
    <t>Potential Failure Mode</t>
  </si>
  <si>
    <t>Potential Effects or Failure</t>
  </si>
  <si>
    <t>Severity</t>
  </si>
  <si>
    <t>Potential Causes of Failure</t>
  </si>
  <si>
    <t>Occurance</t>
  </si>
  <si>
    <t>Current  Controls for Prevention/Detection</t>
  </si>
  <si>
    <t>Detection</t>
  </si>
  <si>
    <t>RPN</t>
  </si>
  <si>
    <t>Recommended Action</t>
  </si>
  <si>
    <t>Responsibility and Target Completion Date</t>
  </si>
  <si>
    <t>Action Results</t>
  </si>
  <si>
    <t>Action Taken</t>
  </si>
  <si>
    <t>Svrty</t>
  </si>
  <si>
    <t>Ocrnc</t>
  </si>
  <si>
    <t>Dtctn</t>
  </si>
  <si>
    <t>BASE (Tracked base)</t>
  </si>
  <si>
    <t>Provides motion of the robot in uneven surfaces</t>
  </si>
  <si>
    <t>Mechanical failure like- track damage and drive system issue</t>
  </si>
  <si>
    <t>Loss of mobility, reduced traction and inablitity to navigate</t>
  </si>
  <si>
    <t>wear and tear of gear, broken sprockets, debris caught in the track</t>
  </si>
  <si>
    <t>Frequent inspection and maintenance- checking of tracks, lubrication of drive shafts and replacement of worn components</t>
  </si>
  <si>
    <t>Develop detailed maintanance schedules and checklists.</t>
  </si>
  <si>
    <t>In early stages-Structural analyst, product design engineer and dimensional engineer.    After selling to customers- Maintenance team     Maintenance date- depends on the usage intervals and customer requirements</t>
  </si>
  <si>
    <t>Maintenance and fault check</t>
  </si>
  <si>
    <t>ARMS/LINKS</t>
  </si>
  <si>
    <t xml:space="preserve">Support and skeleton units of movement </t>
  </si>
  <si>
    <t>Structural damage due to continuous motions</t>
  </si>
  <si>
    <t>Causes instability and misalignment of components</t>
  </si>
  <si>
    <t>Material Fatigue, Corrosion in exposure to environment</t>
  </si>
  <si>
    <t>Lubrication, inspection of damage and maintenance/ replacement</t>
  </si>
  <si>
    <t>Same as ITEM- Base  Maintenance date- depends on the usage intervals and customer requirements</t>
  </si>
  <si>
    <t>JOINTS</t>
  </si>
  <si>
    <t>Helps in bend, to rotate and extension of the arms</t>
  </si>
  <si>
    <t>Misallignment of joints, Fatigue on continuous movements</t>
  </si>
  <si>
    <t>Decrease in precised positioning , unsteady movement and loss of control</t>
  </si>
  <si>
    <t>Wear and tear, less lubrication</t>
  </si>
  <si>
    <t>Proper Lubrication</t>
  </si>
  <si>
    <t>Same as ITEM-  Base and Arms  Maintenance date- depends on the usage intervals and customer requirements</t>
  </si>
  <si>
    <t>ACTUATOR (Hydraulic actuator)</t>
  </si>
  <si>
    <t>Linear and Rotational motion of the links</t>
  </si>
  <si>
    <t>Actuator/  Motor Failures</t>
  </si>
  <si>
    <t>Reduced motion in some joints and decrease in force/torque output</t>
  </si>
  <si>
    <t>Motor burnout, and hydraulic leakage</t>
  </si>
  <si>
    <t>Temperature check, limiting toque and maintenance check</t>
  </si>
  <si>
    <t>Predictive maintenance using vibrational analysis. Upgrade in designing of motor/gear. Improve cooling system.</t>
  </si>
  <si>
    <t>Predictive maintenance team who supplied Hydraulic actuators. Yearly twice or thrice. Design team- 01/12/2024</t>
  </si>
  <si>
    <t>Upgrade to higher grade motors.</t>
  </si>
  <si>
    <t>SENSORS</t>
  </si>
  <si>
    <t>External conditions detection like-position, force, torque or presence of an object</t>
  </si>
  <si>
    <t>Malfunctioning of sensors / Physical damge of sensor</t>
  </si>
  <si>
    <t>More/less force and torque application. Irregular arm movements. Unable to detect object- causes collisions</t>
  </si>
  <si>
    <t>Electromagnetic Interference causes malfunctioning. Also Cause due to overlong exposure to environment conditions.</t>
  </si>
  <si>
    <t>Checking and filtering of signal errors. Use of multiple sensors instead of one for same phenomenon.</t>
  </si>
  <si>
    <t>Often calibration in sensor's output- which improves accuracy and reliability</t>
  </si>
  <si>
    <t>Software Engineers and Electrical engineer. Auto-callibration- so no target date required.</t>
  </si>
  <si>
    <t>Implementation of weekly auto-callibration routine.</t>
  </si>
  <si>
    <t>CONTROL SYSTEM (PID,Force and Trajectory Controllers) (FEEDBACK SYSTEM)</t>
  </si>
  <si>
    <t xml:space="preserve">Provide feedback for position, force/torque and misalingment in trajectory path, to ensure proper movement of arms and end effector </t>
  </si>
  <si>
    <t>Encoder failures and loss of signal</t>
  </si>
  <si>
    <t>Loss of providing feedback which restricts accurate/precise movement of arms and motors</t>
  </si>
  <si>
    <t>Wiring issues, failure in sensor detection, interferances in electrical signals</t>
  </si>
  <si>
    <t xml:space="preserve">Providing seperate PID controllers for each joint. Improving encoders feedback results, Continuous error monitoring system </t>
  </si>
  <si>
    <t>Implementation of Robust control methods. Utilising advance algorithm</t>
  </si>
  <si>
    <t>Robot Control System engineer and software developer. Target date- till before SOP</t>
  </si>
  <si>
    <t>Routine check throughout the programming, making sure the all the inputs provided are correct</t>
  </si>
  <si>
    <t>END EFFECTOR (Suction cups)</t>
  </si>
  <si>
    <t>Grip and hold boxes by creating a sealed chamber between box top surface and the cups</t>
  </si>
  <si>
    <t>Reduce in suction/ vacuum creation and bonding ability,  Deformation/damage of suction cup</t>
  </si>
  <si>
    <t>Reduction in gripper force, decreased precision in movement and chances of dropping and mishandling</t>
  </si>
  <si>
    <t>Improper maintenance and cleaning, manufacturing defect and vacuum system failures</t>
  </si>
  <si>
    <t xml:space="preserve">Monitoring of vacuum pressure level, selection of proper size of suction cup according to payload </t>
  </si>
  <si>
    <t>Implementation of sensor to detect gripping status. Replacement of damaged suction cup.</t>
  </si>
  <si>
    <t>Maintenance engineers and Safety engineers</t>
  </si>
  <si>
    <t>Implement of sensor which will detect the gripping condition</t>
  </si>
  <si>
    <t>SAFETY MECHANISMS</t>
  </si>
  <si>
    <t xml:space="preserve"> Emergency stop to avoid collision and also speed regulation, provision of a gaurding system.</t>
  </si>
  <si>
    <t xml:space="preserve"> The failure in the event that the emergency stop isn’t triggered and sensor malfunction.</t>
  </si>
  <si>
    <t>Collision with operator, surroundings and objects.</t>
  </si>
  <si>
    <t>Faulty wiring, button wear or software malfunctions, dust accumulation sensor misalignment</t>
  </si>
  <si>
    <t>Redundant Emergency stop button, proximity sensors and mechanical limit switches</t>
  </si>
  <si>
    <t>Improve Emergency stop accessibility also Upgrade to higher sensors and calibrate load sensors regularly.</t>
  </si>
  <si>
    <t xml:space="preserve">Safety Engineers and control Engineers 
20/11/2025
</t>
  </si>
  <si>
    <t>Improve Emergency stop button and installed upgraded sensors</t>
  </si>
  <si>
    <t>SOFTWARES</t>
  </si>
  <si>
    <t>Motion Control, sensor integration, path planning, speed controls and position calibration</t>
  </si>
  <si>
    <t>Unexpected movement, sensor data loss, inaccuracy from sensors, path deviation and calibration drift.</t>
  </si>
  <si>
    <t>Collision that may lead to injuries to operator or damages properties, failure to detect obstacles.</t>
  </si>
  <si>
    <t>Software bug, incorrect data, path calculation error.</t>
  </si>
  <si>
    <t>Code review, error checking in software, periodic validation checks, and auto-calibration.</t>
  </si>
  <si>
    <t>Improve testing protocols and frequency, update algorithms to account for limitations in real-world scenarios.</t>
  </si>
  <si>
    <t>Software Engineers and Network Engineers  22/11/2025</t>
  </si>
  <si>
    <t>Added new test cases and improve data validation.</t>
  </si>
  <si>
    <t>USER INTERFACE</t>
  </si>
  <si>
    <t>Control panel display and touchscreen control</t>
  </si>
  <si>
    <t>Not responding to commands and  commands being misinterpreted.</t>
  </si>
  <si>
    <t>Response has been delayed which could lead to operator confusion.</t>
  </si>
  <si>
    <t>Bug in Software and screen wear</t>
  </si>
  <si>
    <t xml:space="preserve">Reset Options, checking the system periodically </t>
  </si>
  <si>
    <t>Increase touchscreen durability and software stability.</t>
  </si>
  <si>
    <t>Maintenance team and UI engineers 21/11/2025</t>
  </si>
  <si>
    <t>upgraded screen set.</t>
  </si>
  <si>
    <t>CONNECTION</t>
  </si>
  <si>
    <t>Transmission of Data, Wireless connection stability and Controller-arm communication.</t>
  </si>
  <si>
    <t>Loss of data packet and connection drops intermittently.</t>
  </si>
  <si>
    <t>Incomplete or incorrect commands to the arm and arm fails to respond or stops unexpectedly.</t>
  </si>
  <si>
    <t xml:space="preserve">
Lack of stable Network or interference in connection with the arm due to the environment and weak signal strength.
</t>
  </si>
  <si>
    <t>Redundance in signal and protocols for correcting errors.</t>
  </si>
  <si>
    <t>Add signal boosters and update the protocol for correcting errors.</t>
  </si>
  <si>
    <t>Network and connectivity Engineers 23/12/2025</t>
  </si>
  <si>
    <t xml:space="preserve">Boosters Installed and error correction </t>
  </si>
  <si>
    <t>COOLING SYSTEM</t>
  </si>
  <si>
    <t>Cooling Fan Operation, Coolant flow and Heat exchange.</t>
  </si>
  <si>
    <t>Fan stopping abruptly, flow of coolant been blocked or reduced, and temperature regulation been inaccurate.</t>
  </si>
  <si>
    <t>System shutting down due to overheating and overheating of components which may also lead to a reduction in performance.</t>
  </si>
  <si>
    <t>Failure of fan motor, coolant blockage and faulty temperature sensors.</t>
  </si>
  <si>
    <t>Periodic fan check, monitoring of coolant flow rate and  regular cleaning of heat exchanger.</t>
  </si>
  <si>
    <t>Install a backup fan, clean lines regularly and Improve flow Sensors.</t>
  </si>
  <si>
    <t>Maintenance and systems engineer 27/11/2025</t>
  </si>
  <si>
    <t>Installed backup fan and Upgraded flow sensors.</t>
  </si>
  <si>
    <t>CABLE AND WIRING</t>
  </si>
  <si>
    <t>Power Wiring, Signal Wiring and Connector Integrity.</t>
  </si>
  <si>
    <t>Insulation been broken, Signal interference and damaged connectors.</t>
  </si>
  <si>
    <t>Damage of components or risk of fire, errors in communication and loss in signal and power.</t>
  </si>
  <si>
    <t>Wear and tears, poor insulation and loose connections.</t>
  </si>
  <si>
    <t>Quality insulation checks, connector inspections and periodic visual inspection.</t>
  </si>
  <si>
    <t>Reinforced Insulation, add protective casings and increase checking’s for  connections.</t>
  </si>
  <si>
    <t>Maintenance engineers and control Engineers 29/11/2024</t>
  </si>
  <si>
    <t>Upgraded to reinforced insulation, applied protective casing and added inspections routine.</t>
  </si>
  <si>
    <t>AIAG Compelled Rating</t>
  </si>
  <si>
    <t>Rating</t>
  </si>
  <si>
    <t>Severity of Effect</t>
  </si>
  <si>
    <t>Likelihood of Occurrence</t>
  </si>
  <si>
    <t>Ability to Detect</t>
  </si>
  <si>
    <t>Hazardous without Warning</t>
  </si>
  <si>
    <t>Very high; Failure is almost inevitable</t>
  </si>
  <si>
    <t>Can not detect</t>
  </si>
  <si>
    <t>Hazardous with Warning</t>
  </si>
  <si>
    <t>Very remote chances of detection</t>
  </si>
  <si>
    <t>Lose of primary function</t>
  </si>
  <si>
    <t>High; Repeated failures</t>
  </si>
  <si>
    <t>Remote chances of detection</t>
  </si>
  <si>
    <t>Reduced primary function performance</t>
  </si>
  <si>
    <t>Very low chances of detection</t>
  </si>
  <si>
    <t>Lose of secondary function</t>
  </si>
  <si>
    <t>Moderate; Occasional failures</t>
  </si>
  <si>
    <t>Low chances of detection</t>
  </si>
  <si>
    <t>Reduced secondary function performance</t>
  </si>
  <si>
    <t>Moderate chances of detection</t>
  </si>
  <si>
    <t>Minor defect noticed by most customers</t>
  </si>
  <si>
    <t>Moderate high chances of detection</t>
  </si>
  <si>
    <t>Minor defect noticed by some customers</t>
  </si>
  <si>
    <t>Low; Relatively low failures</t>
  </si>
  <si>
    <t>High chances of detection</t>
  </si>
  <si>
    <t>Minor defect noticed by discriminating customers</t>
  </si>
  <si>
    <t>Very high chances of detection</t>
  </si>
  <si>
    <t>No effect unlikely</t>
  </si>
  <si>
    <t>Remote; Failure is unlikely</t>
  </si>
  <si>
    <t>Almost certain</t>
  </si>
  <si>
    <t>Six-Sigma Compelled Rating</t>
  </si>
  <si>
    <t>Injure a customer or employ</t>
  </si>
  <si>
    <t>More than one per day</t>
  </si>
  <si>
    <t>Defect caused by failure is not detectable</t>
  </si>
  <si>
    <t>Be illegal</t>
  </si>
  <si>
    <t>Once every 3-4 days</t>
  </si>
  <si>
    <t>Occasional units are checked for defects</t>
  </si>
  <si>
    <t>Render product or service unfit for use</t>
  </si>
  <si>
    <t>Once every week</t>
  </si>
  <si>
    <t>Units are systematically sampled and inspected</t>
  </si>
  <si>
    <t>Cause extreme customer dissatisfaction</t>
  </si>
  <si>
    <t>Once per month</t>
  </si>
  <si>
    <t>All units are manually inspected</t>
  </si>
  <si>
    <t>Result in partial malfunction</t>
  </si>
  <si>
    <t>Once every three months</t>
  </si>
  <si>
    <t>Manual inspection with mistake proofing modifications</t>
  </si>
  <si>
    <t>Cause a loss of performance which is likely to result in a complaint</t>
  </si>
  <si>
    <t>Once every six months</t>
  </si>
  <si>
    <t>Process is monitored and manually inspected</t>
  </si>
  <si>
    <t>Cause minor performance loss</t>
  </si>
  <si>
    <t>One per year</t>
  </si>
  <si>
    <t>SPC is used with an immediate reaction to out of control conditions</t>
  </si>
  <si>
    <t>Cause a minor nuisance but can be overcome with no performance loss</t>
  </si>
  <si>
    <t>Once every 1-3 years</t>
  </si>
  <si>
    <t>SPC is above 100% inspection surrounding out of control conditions</t>
  </si>
  <si>
    <t>Be unnoticed and have only minor effect on performance</t>
  </si>
  <si>
    <t>Once every 3-6 years</t>
  </si>
  <si>
    <t>All units are automatically inspected</t>
  </si>
  <si>
    <t>Be unnoticed and no effect on performance</t>
  </si>
  <si>
    <t>Once every 6-9 years</t>
  </si>
  <si>
    <t>Defect is obvious and can be kept from affecting the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</si>
</sst>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1"/>
      <name val="Tahoma"/>
      <charset val="1"/>
    </font>
    <font>
      <u/>
      <sz val="11"/>
      <color theme="10"/>
      <name val="Calibri"/>
      <family val="2"/>
    </font>
    <font>
      <sz val="11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i/>
      <u/>
      <sz val="10"/>
      <color theme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9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6" borderId="3" xfId="0" applyFont="1" applyFill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textRotation="255" wrapText="1"/>
    </xf>
    <xf numFmtId="0" fontId="6" fillId="7" borderId="4" xfId="0" applyFont="1" applyFill="1" applyBorder="1" applyAlignment="1">
      <alignment horizontal="center" vertical="center" textRotation="255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6" fillId="6" borderId="2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textRotation="255" wrapText="1"/>
    </xf>
    <xf numFmtId="0" fontId="6" fillId="6" borderId="10" xfId="0" applyFont="1" applyFill="1" applyBorder="1" applyAlignment="1">
      <alignment horizontal="right" vertical="center"/>
    </xf>
    <xf numFmtId="0" fontId="6" fillId="6" borderId="8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6" borderId="3" xfId="1" applyFont="1" applyFill="1" applyBorder="1" applyAlignment="1" applyProtection="1">
      <alignment horizontal="right"/>
    </xf>
    <xf numFmtId="0" fontId="6" fillId="6" borderId="7" xfId="0" applyFont="1" applyFill="1" applyBorder="1" applyAlignment="1">
      <alignment horizontal="right" vertical="center"/>
    </xf>
    <xf numFmtId="0" fontId="6" fillId="6" borderId="8" xfId="0" applyFont="1" applyFill="1" applyBorder="1" applyAlignment="1">
      <alignment horizontal="left" vertical="center"/>
    </xf>
    <xf numFmtId="0" fontId="6" fillId="6" borderId="9" xfId="0" applyFont="1" applyFill="1" applyBorder="1" applyAlignment="1">
      <alignment horizontal="left" vertical="center"/>
    </xf>
    <xf numFmtId="14" fontId="6" fillId="6" borderId="8" xfId="0" applyNumberFormat="1" applyFont="1" applyFill="1" applyBorder="1" applyAlignment="1">
      <alignment horizontal="left" vertical="center"/>
    </xf>
    <xf numFmtId="0" fontId="6" fillId="6" borderId="11" xfId="0" applyFont="1" applyFill="1" applyBorder="1" applyAlignment="1">
      <alignment horizontal="left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 textRotation="255" wrapText="1"/>
    </xf>
    <xf numFmtId="0" fontId="6" fillId="5" borderId="13" xfId="0" applyFont="1" applyFill="1" applyBorder="1" applyAlignment="1">
      <alignment horizontal="center" vertical="center" textRotation="255" wrapText="1"/>
    </xf>
    <xf numFmtId="0" fontId="6" fillId="0" borderId="5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/>
    <xf numFmtId="0" fontId="8" fillId="0" borderId="6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83F7-7BAC-4694-A82D-8C87835B056F}">
  <dimension ref="B1:R26"/>
  <sheetViews>
    <sheetView showGridLines="0" tabSelected="1" topLeftCell="A16" workbookViewId="0">
      <selection activeCell="S16" sqref="S16"/>
    </sheetView>
  </sheetViews>
  <sheetFormatPr defaultRowHeight="12.75"/>
  <cols>
    <col min="1" max="1" width="2.5703125" style="11" customWidth="1"/>
    <col min="2" max="2" width="18.28515625" style="24" customWidth="1"/>
    <col min="3" max="3" width="12.5703125" style="10" customWidth="1"/>
    <col min="4" max="4" width="12.7109375" style="10" customWidth="1"/>
    <col min="5" max="5" width="14" style="10" customWidth="1"/>
    <col min="6" max="6" width="3.7109375" style="10" customWidth="1"/>
    <col min="7" max="7" width="13.85546875" style="10" customWidth="1"/>
    <col min="8" max="8" width="3.7109375" style="10" customWidth="1"/>
    <col min="9" max="9" width="12.7109375" style="10" customWidth="1"/>
    <col min="10" max="10" width="3.7109375" style="10" customWidth="1"/>
    <col min="11" max="11" width="6.28515625" style="10" customWidth="1"/>
    <col min="12" max="12" width="14.140625" style="11" customWidth="1"/>
    <col min="13" max="13" width="16.28515625" style="11" customWidth="1"/>
    <col min="14" max="14" width="13.7109375" style="11" customWidth="1"/>
    <col min="15" max="17" width="3.7109375" style="10" customWidth="1"/>
    <col min="18" max="18" width="6" style="10" customWidth="1"/>
    <col min="19" max="16384" width="9.140625" style="11"/>
  </cols>
  <sheetData>
    <row r="1" spans="2:18" ht="10.5" customHeight="1"/>
    <row r="2" spans="2:18" ht="25.5" customHeight="1">
      <c r="B2" s="25"/>
      <c r="C2" s="12"/>
      <c r="D2" s="44" t="s">
        <v>0</v>
      </c>
      <c r="E2" s="44"/>
      <c r="F2" s="44"/>
      <c r="G2" s="44"/>
      <c r="H2" s="44"/>
      <c r="I2" s="44"/>
      <c r="J2" s="44"/>
      <c r="K2" s="44"/>
      <c r="L2" s="44"/>
      <c r="M2" s="44"/>
      <c r="N2" s="36" t="s">
        <v>1</v>
      </c>
      <c r="O2" s="50"/>
      <c r="P2" s="50"/>
      <c r="Q2" s="50"/>
      <c r="R2" s="51"/>
    </row>
    <row r="3" spans="2:18" ht="17.25" customHeight="1">
      <c r="B3" s="37" t="s">
        <v>2</v>
      </c>
      <c r="C3" s="33"/>
      <c r="D3" s="33"/>
      <c r="E3" s="33"/>
      <c r="F3" s="38" t="s">
        <v>3</v>
      </c>
      <c r="G3" s="38"/>
      <c r="H3" s="38"/>
      <c r="I3" s="39"/>
      <c r="J3" s="32" t="s">
        <v>4</v>
      </c>
      <c r="K3" s="33"/>
      <c r="L3" s="33"/>
      <c r="M3" s="33"/>
      <c r="N3" s="38" t="s">
        <v>5</v>
      </c>
      <c r="O3" s="38"/>
      <c r="P3" s="38"/>
      <c r="Q3" s="38"/>
      <c r="R3" s="41"/>
    </row>
    <row r="4" spans="2:18" ht="17.25" customHeight="1">
      <c r="B4" s="37" t="s">
        <v>6</v>
      </c>
      <c r="C4" s="33"/>
      <c r="D4" s="33"/>
      <c r="E4" s="33"/>
      <c r="F4" s="40">
        <v>45515</v>
      </c>
      <c r="G4" s="38"/>
      <c r="H4" s="38"/>
      <c r="I4" s="39"/>
      <c r="J4" s="32" t="s">
        <v>7</v>
      </c>
      <c r="K4" s="33"/>
      <c r="L4" s="33"/>
      <c r="M4" s="33"/>
      <c r="N4" s="42" t="s">
        <v>8</v>
      </c>
      <c r="O4" s="42"/>
      <c r="P4" s="42"/>
      <c r="Q4" s="42"/>
      <c r="R4" s="43"/>
    </row>
    <row r="5" spans="2:18" s="13" customFormat="1" ht="18.75" customHeight="1">
      <c r="B5" s="47" t="s">
        <v>9</v>
      </c>
      <c r="C5" s="30" t="s">
        <v>10</v>
      </c>
      <c r="D5" s="30" t="s">
        <v>11</v>
      </c>
      <c r="E5" s="30" t="s">
        <v>12</v>
      </c>
      <c r="F5" s="31" t="s">
        <v>13</v>
      </c>
      <c r="G5" s="30" t="s">
        <v>14</v>
      </c>
      <c r="H5" s="31" t="s">
        <v>15</v>
      </c>
      <c r="I5" s="30" t="s">
        <v>16</v>
      </c>
      <c r="J5" s="31" t="s">
        <v>17</v>
      </c>
      <c r="K5" s="45" t="s">
        <v>18</v>
      </c>
      <c r="L5" s="30" t="s">
        <v>19</v>
      </c>
      <c r="M5" s="30" t="s">
        <v>20</v>
      </c>
      <c r="N5" s="34" t="s">
        <v>21</v>
      </c>
      <c r="O5" s="34"/>
      <c r="P5" s="34"/>
      <c r="Q5" s="34"/>
      <c r="R5" s="35"/>
    </row>
    <row r="6" spans="2:18" ht="118.5" customHeight="1">
      <c r="B6" s="47"/>
      <c r="C6" s="30"/>
      <c r="D6" s="30"/>
      <c r="E6" s="30"/>
      <c r="F6" s="31"/>
      <c r="G6" s="30"/>
      <c r="H6" s="31"/>
      <c r="I6" s="30"/>
      <c r="J6" s="31"/>
      <c r="K6" s="46"/>
      <c r="L6" s="30"/>
      <c r="M6" s="30"/>
      <c r="N6" s="14" t="s">
        <v>22</v>
      </c>
      <c r="O6" s="15" t="s">
        <v>23</v>
      </c>
      <c r="P6" s="15" t="s">
        <v>24</v>
      </c>
      <c r="Q6" s="15" t="s">
        <v>25</v>
      </c>
      <c r="R6" s="16" t="s">
        <v>18</v>
      </c>
    </row>
    <row r="7" spans="2:18" s="23" customFormat="1" ht="197.25" customHeight="1">
      <c r="B7" s="26" t="s">
        <v>26</v>
      </c>
      <c r="C7" s="17" t="s">
        <v>27</v>
      </c>
      <c r="D7" s="17" t="s">
        <v>28</v>
      </c>
      <c r="E7" s="17" t="s">
        <v>29</v>
      </c>
      <c r="F7" s="18">
        <v>8</v>
      </c>
      <c r="G7" s="17" t="s">
        <v>30</v>
      </c>
      <c r="H7" s="18">
        <v>5</v>
      </c>
      <c r="I7" s="17" t="s">
        <v>31</v>
      </c>
      <c r="J7" s="18">
        <v>8</v>
      </c>
      <c r="K7" s="19">
        <f>F7*H7*J7</f>
        <v>320</v>
      </c>
      <c r="L7" s="20" t="s">
        <v>32</v>
      </c>
      <c r="M7" s="20" t="s">
        <v>33</v>
      </c>
      <c r="N7" s="21" t="s">
        <v>34</v>
      </c>
      <c r="O7" s="14">
        <v>7</v>
      </c>
      <c r="P7" s="14">
        <v>3</v>
      </c>
      <c r="Q7" s="14">
        <v>6</v>
      </c>
      <c r="R7" s="22">
        <f>O7*P7*Q7</f>
        <v>126</v>
      </c>
    </row>
    <row r="8" spans="2:18" s="23" customFormat="1" ht="99" customHeight="1">
      <c r="B8" s="26" t="s">
        <v>35</v>
      </c>
      <c r="C8" s="17" t="s">
        <v>36</v>
      </c>
      <c r="D8" s="17" t="s">
        <v>37</v>
      </c>
      <c r="E8" s="17" t="s">
        <v>38</v>
      </c>
      <c r="F8" s="18">
        <v>6</v>
      </c>
      <c r="G8" s="17" t="s">
        <v>39</v>
      </c>
      <c r="H8" s="18">
        <v>4</v>
      </c>
      <c r="I8" s="17" t="s">
        <v>40</v>
      </c>
      <c r="J8" s="18">
        <v>4</v>
      </c>
      <c r="K8" s="19">
        <f t="shared" ref="K8:K26" si="0">F8*H8*J8</f>
        <v>96</v>
      </c>
      <c r="L8" s="20" t="s">
        <v>32</v>
      </c>
      <c r="M8" s="20" t="s">
        <v>41</v>
      </c>
      <c r="N8" s="21" t="s">
        <v>34</v>
      </c>
      <c r="O8" s="14">
        <v>5</v>
      </c>
      <c r="P8" s="14">
        <v>3</v>
      </c>
      <c r="Q8" s="14">
        <v>3</v>
      </c>
      <c r="R8" s="22">
        <f t="shared" ref="R8:R26" si="1">O8*P8*Q8</f>
        <v>45</v>
      </c>
    </row>
    <row r="9" spans="2:18" s="23" customFormat="1" ht="105.75" customHeight="1">
      <c r="B9" s="26" t="s">
        <v>42</v>
      </c>
      <c r="C9" s="17" t="s">
        <v>43</v>
      </c>
      <c r="D9" s="17" t="s">
        <v>44</v>
      </c>
      <c r="E9" s="17" t="s">
        <v>45</v>
      </c>
      <c r="F9" s="18">
        <v>8</v>
      </c>
      <c r="G9" s="17" t="s">
        <v>46</v>
      </c>
      <c r="H9" s="17">
        <v>4</v>
      </c>
      <c r="I9" s="17" t="s">
        <v>47</v>
      </c>
      <c r="J9" s="18">
        <v>3</v>
      </c>
      <c r="K9" s="19">
        <f>F9*H9*J9</f>
        <v>96</v>
      </c>
      <c r="L9" s="20" t="s">
        <v>32</v>
      </c>
      <c r="M9" s="20" t="s">
        <v>48</v>
      </c>
      <c r="N9" s="21" t="s">
        <v>34</v>
      </c>
      <c r="O9" s="14">
        <v>7</v>
      </c>
      <c r="P9" s="14">
        <v>4</v>
      </c>
      <c r="Q9" s="14">
        <v>2</v>
      </c>
      <c r="R9" s="22">
        <f t="shared" si="1"/>
        <v>56</v>
      </c>
    </row>
    <row r="10" spans="2:18" s="23" customFormat="1" ht="135" customHeight="1">
      <c r="B10" s="26" t="s">
        <v>49</v>
      </c>
      <c r="C10" s="17" t="s">
        <v>50</v>
      </c>
      <c r="D10" s="17" t="s">
        <v>51</v>
      </c>
      <c r="E10" s="17" t="s">
        <v>52</v>
      </c>
      <c r="F10" s="18">
        <v>8</v>
      </c>
      <c r="G10" s="17" t="s">
        <v>53</v>
      </c>
      <c r="H10" s="18">
        <v>6</v>
      </c>
      <c r="I10" s="17" t="s">
        <v>54</v>
      </c>
      <c r="J10" s="18">
        <v>5</v>
      </c>
      <c r="K10" s="19">
        <f t="shared" si="0"/>
        <v>240</v>
      </c>
      <c r="L10" s="20" t="s">
        <v>55</v>
      </c>
      <c r="M10" s="20" t="s">
        <v>56</v>
      </c>
      <c r="N10" s="21" t="s">
        <v>57</v>
      </c>
      <c r="O10" s="14">
        <v>7</v>
      </c>
      <c r="P10" s="14">
        <v>4</v>
      </c>
      <c r="Q10" s="14">
        <v>3</v>
      </c>
      <c r="R10" s="22">
        <f t="shared" si="1"/>
        <v>84</v>
      </c>
    </row>
    <row r="11" spans="2:18" s="23" customFormat="1" ht="120" customHeight="1">
      <c r="B11" s="26" t="s">
        <v>58</v>
      </c>
      <c r="C11" s="17" t="s">
        <v>59</v>
      </c>
      <c r="D11" s="17" t="s">
        <v>60</v>
      </c>
      <c r="E11" s="17" t="s">
        <v>61</v>
      </c>
      <c r="F11" s="18">
        <v>8</v>
      </c>
      <c r="G11" s="17" t="s">
        <v>62</v>
      </c>
      <c r="H11" s="18">
        <v>6</v>
      </c>
      <c r="I11" s="17" t="s">
        <v>63</v>
      </c>
      <c r="J11" s="18">
        <v>5</v>
      </c>
      <c r="K11" s="19">
        <f t="shared" si="0"/>
        <v>240</v>
      </c>
      <c r="L11" s="20" t="s">
        <v>64</v>
      </c>
      <c r="M11" s="20" t="s">
        <v>65</v>
      </c>
      <c r="N11" s="21" t="s">
        <v>66</v>
      </c>
      <c r="O11" s="14">
        <v>7</v>
      </c>
      <c r="P11" s="14">
        <v>4</v>
      </c>
      <c r="Q11" s="14">
        <v>3</v>
      </c>
      <c r="R11" s="22">
        <f t="shared" si="1"/>
        <v>84</v>
      </c>
    </row>
    <row r="12" spans="2:18" s="23" customFormat="1" ht="167.25" customHeight="1">
      <c r="B12" s="26" t="s">
        <v>67</v>
      </c>
      <c r="C12" s="17" t="s">
        <v>68</v>
      </c>
      <c r="D12" s="17" t="s">
        <v>69</v>
      </c>
      <c r="E12" s="17" t="s">
        <v>70</v>
      </c>
      <c r="F12" s="18">
        <v>9</v>
      </c>
      <c r="G12" s="17" t="s">
        <v>71</v>
      </c>
      <c r="H12" s="18">
        <v>7</v>
      </c>
      <c r="I12" s="17" t="s">
        <v>72</v>
      </c>
      <c r="J12" s="18">
        <v>6</v>
      </c>
      <c r="K12" s="19">
        <f t="shared" si="0"/>
        <v>378</v>
      </c>
      <c r="L12" s="20" t="s">
        <v>73</v>
      </c>
      <c r="M12" s="20" t="s">
        <v>74</v>
      </c>
      <c r="N12" s="21" t="s">
        <v>75</v>
      </c>
      <c r="O12" s="14">
        <v>8</v>
      </c>
      <c r="P12" s="14">
        <v>5</v>
      </c>
      <c r="Q12" s="14">
        <v>4</v>
      </c>
      <c r="R12" s="22">
        <f t="shared" si="1"/>
        <v>160</v>
      </c>
    </row>
    <row r="13" spans="2:18" s="23" customFormat="1" ht="125.25" customHeight="1">
      <c r="B13" s="26" t="s">
        <v>76</v>
      </c>
      <c r="C13" s="17" t="s">
        <v>77</v>
      </c>
      <c r="D13" s="17" t="s">
        <v>78</v>
      </c>
      <c r="E13" s="17" t="s">
        <v>79</v>
      </c>
      <c r="F13" s="18">
        <v>9</v>
      </c>
      <c r="G13" s="17" t="s">
        <v>80</v>
      </c>
      <c r="H13" s="18">
        <v>4</v>
      </c>
      <c r="I13" s="17" t="s">
        <v>81</v>
      </c>
      <c r="J13" s="23">
        <v>7</v>
      </c>
      <c r="K13" s="19">
        <f>F13*H13*J13</f>
        <v>252</v>
      </c>
      <c r="L13" s="20" t="s">
        <v>82</v>
      </c>
      <c r="M13" s="20" t="s">
        <v>83</v>
      </c>
      <c r="N13" s="21" t="s">
        <v>84</v>
      </c>
      <c r="O13" s="14">
        <v>7</v>
      </c>
      <c r="P13" s="14">
        <v>4</v>
      </c>
      <c r="Q13" s="14">
        <v>4</v>
      </c>
      <c r="R13" s="22">
        <f t="shared" si="1"/>
        <v>112</v>
      </c>
    </row>
    <row r="14" spans="2:18" s="23" customFormat="1" ht="116.25" customHeight="1">
      <c r="B14" s="26" t="s">
        <v>85</v>
      </c>
      <c r="C14" s="17" t="s">
        <v>86</v>
      </c>
      <c r="D14" s="17" t="s">
        <v>87</v>
      </c>
      <c r="E14" s="17" t="s">
        <v>88</v>
      </c>
      <c r="F14" s="18">
        <v>7</v>
      </c>
      <c r="G14" s="17" t="s">
        <v>89</v>
      </c>
      <c r="H14" s="18">
        <v>4</v>
      </c>
      <c r="I14" s="17" t="s">
        <v>90</v>
      </c>
      <c r="J14" s="18">
        <v>8</v>
      </c>
      <c r="K14" s="19">
        <f t="shared" si="0"/>
        <v>224</v>
      </c>
      <c r="L14" s="20" t="s">
        <v>91</v>
      </c>
      <c r="M14" s="20" t="s">
        <v>92</v>
      </c>
      <c r="N14" s="21" t="s">
        <v>93</v>
      </c>
      <c r="O14" s="14">
        <v>4</v>
      </c>
      <c r="P14" s="14">
        <v>5</v>
      </c>
      <c r="Q14" s="14">
        <v>8</v>
      </c>
      <c r="R14" s="22">
        <f t="shared" si="1"/>
        <v>160</v>
      </c>
    </row>
    <row r="15" spans="2:18" s="23" customFormat="1" ht="145.5" customHeight="1">
      <c r="B15" s="26" t="s">
        <v>94</v>
      </c>
      <c r="C15" s="17" t="s">
        <v>95</v>
      </c>
      <c r="D15" s="17" t="s">
        <v>96</v>
      </c>
      <c r="E15" s="17" t="s">
        <v>97</v>
      </c>
      <c r="F15" s="18">
        <v>9</v>
      </c>
      <c r="G15" s="17" t="s">
        <v>98</v>
      </c>
      <c r="H15" s="18">
        <v>5</v>
      </c>
      <c r="I15" s="17" t="s">
        <v>99</v>
      </c>
      <c r="J15" s="18">
        <v>4</v>
      </c>
      <c r="K15" s="19">
        <f t="shared" si="0"/>
        <v>180</v>
      </c>
      <c r="L15" s="20" t="s">
        <v>100</v>
      </c>
      <c r="M15" s="20" t="s">
        <v>101</v>
      </c>
      <c r="N15" s="21" t="s">
        <v>102</v>
      </c>
      <c r="O15" s="14">
        <v>7</v>
      </c>
      <c r="P15" s="14">
        <v>4</v>
      </c>
      <c r="Q15" s="14">
        <v>3</v>
      </c>
      <c r="R15" s="22">
        <f t="shared" si="1"/>
        <v>84</v>
      </c>
    </row>
    <row r="16" spans="2:18" s="23" customFormat="1" ht="106.5" customHeight="1">
      <c r="B16" s="26" t="s">
        <v>103</v>
      </c>
      <c r="C16" s="17" t="s">
        <v>104</v>
      </c>
      <c r="D16" s="17" t="s">
        <v>105</v>
      </c>
      <c r="E16" s="17" t="s">
        <v>106</v>
      </c>
      <c r="F16" s="18">
        <v>7</v>
      </c>
      <c r="G16" s="17" t="s">
        <v>107</v>
      </c>
      <c r="H16" s="18">
        <v>5</v>
      </c>
      <c r="I16" s="17" t="s">
        <v>108</v>
      </c>
      <c r="J16" s="18">
        <v>6</v>
      </c>
      <c r="K16" s="19">
        <f t="shared" si="0"/>
        <v>210</v>
      </c>
      <c r="L16" s="20" t="s">
        <v>109</v>
      </c>
      <c r="M16" s="28" t="s">
        <v>110</v>
      </c>
      <c r="N16" s="21" t="s">
        <v>111</v>
      </c>
      <c r="O16" s="14">
        <v>9</v>
      </c>
      <c r="P16" s="14">
        <v>3</v>
      </c>
      <c r="Q16" s="14">
        <v>2</v>
      </c>
      <c r="R16" s="22">
        <f t="shared" si="1"/>
        <v>54</v>
      </c>
    </row>
    <row r="17" spans="2:18" s="23" customFormat="1" ht="125.25" customHeight="1">
      <c r="B17" s="26" t="s">
        <v>112</v>
      </c>
      <c r="C17" s="17" t="s">
        <v>113</v>
      </c>
      <c r="D17" s="17" t="s">
        <v>114</v>
      </c>
      <c r="E17" s="27" t="s">
        <v>115</v>
      </c>
      <c r="F17" s="18">
        <v>8</v>
      </c>
      <c r="G17" s="17" t="s">
        <v>116</v>
      </c>
      <c r="H17" s="18">
        <v>5</v>
      </c>
      <c r="I17" s="17" t="s">
        <v>117</v>
      </c>
      <c r="J17" s="18">
        <v>4</v>
      </c>
      <c r="K17" s="19">
        <f t="shared" si="0"/>
        <v>160</v>
      </c>
      <c r="L17" s="20" t="s">
        <v>118</v>
      </c>
      <c r="M17" s="20" t="s">
        <v>119</v>
      </c>
      <c r="N17" s="21" t="s">
        <v>120</v>
      </c>
      <c r="O17" s="14">
        <v>6</v>
      </c>
      <c r="P17" s="14">
        <v>4</v>
      </c>
      <c r="Q17" s="14">
        <v>2</v>
      </c>
      <c r="R17" s="22">
        <f>O17*P17*Q17</f>
        <v>48</v>
      </c>
    </row>
    <row r="18" spans="2:18" s="23" customFormat="1" ht="154.5" customHeight="1">
      <c r="B18" s="26" t="s">
        <v>121</v>
      </c>
      <c r="C18" s="17" t="s">
        <v>122</v>
      </c>
      <c r="D18" s="17" t="s">
        <v>123</v>
      </c>
      <c r="E18" s="17" t="s">
        <v>124</v>
      </c>
      <c r="F18" s="18">
        <v>8</v>
      </c>
      <c r="G18" s="17" t="s">
        <v>125</v>
      </c>
      <c r="H18" s="18">
        <v>5</v>
      </c>
      <c r="I18" s="17" t="s">
        <v>126</v>
      </c>
      <c r="J18" s="18">
        <v>4</v>
      </c>
      <c r="K18" s="19">
        <f t="shared" si="0"/>
        <v>160</v>
      </c>
      <c r="L18" s="20" t="s">
        <v>127</v>
      </c>
      <c r="M18" s="29" t="s">
        <v>128</v>
      </c>
      <c r="N18" s="21" t="s">
        <v>129</v>
      </c>
      <c r="O18" s="14">
        <v>7</v>
      </c>
      <c r="P18" s="14">
        <v>5</v>
      </c>
      <c r="Q18" s="14">
        <v>3</v>
      </c>
      <c r="R18" s="22">
        <f t="shared" si="1"/>
        <v>105</v>
      </c>
    </row>
    <row r="19" spans="2:18" s="23" customFormat="1" ht="127.5" customHeight="1">
      <c r="B19" s="26" t="s">
        <v>130</v>
      </c>
      <c r="C19" s="17" t="s">
        <v>131</v>
      </c>
      <c r="D19" s="17" t="s">
        <v>132</v>
      </c>
      <c r="E19" s="17" t="s">
        <v>133</v>
      </c>
      <c r="F19" s="18">
        <v>10</v>
      </c>
      <c r="G19" s="17" t="s">
        <v>134</v>
      </c>
      <c r="H19" s="18">
        <v>4</v>
      </c>
      <c r="I19" s="17" t="s">
        <v>135</v>
      </c>
      <c r="J19" s="18">
        <v>5</v>
      </c>
      <c r="K19" s="19">
        <f t="shared" si="0"/>
        <v>200</v>
      </c>
      <c r="L19" s="20" t="s">
        <v>136</v>
      </c>
      <c r="M19" s="20" t="s">
        <v>137</v>
      </c>
      <c r="N19" s="21" t="s">
        <v>138</v>
      </c>
      <c r="O19" s="14">
        <v>7</v>
      </c>
      <c r="P19" s="14">
        <v>4</v>
      </c>
      <c r="Q19" s="14">
        <v>4</v>
      </c>
      <c r="R19" s="22">
        <f t="shared" si="1"/>
        <v>112</v>
      </c>
    </row>
    <row r="20" spans="2:18" s="23" customFormat="1">
      <c r="B20" s="26"/>
      <c r="C20" s="17"/>
      <c r="D20" s="17"/>
      <c r="E20" s="17"/>
      <c r="F20" s="18"/>
      <c r="G20" s="17"/>
      <c r="H20" s="18"/>
      <c r="I20" s="17"/>
      <c r="J20" s="18"/>
      <c r="K20" s="19">
        <f t="shared" si="0"/>
        <v>0</v>
      </c>
      <c r="L20" s="20"/>
      <c r="M20" s="20"/>
      <c r="N20" s="21"/>
      <c r="O20" s="14"/>
      <c r="P20" s="14"/>
      <c r="Q20" s="14"/>
      <c r="R20" s="22">
        <f t="shared" si="1"/>
        <v>0</v>
      </c>
    </row>
    <row r="21" spans="2:18" s="23" customFormat="1">
      <c r="B21" s="26"/>
      <c r="C21" s="17"/>
      <c r="D21" s="17"/>
      <c r="E21" s="17"/>
      <c r="F21" s="18"/>
      <c r="G21" s="17"/>
      <c r="H21" s="18"/>
      <c r="I21" s="17"/>
      <c r="J21" s="18"/>
      <c r="K21" s="19">
        <f t="shared" si="0"/>
        <v>0</v>
      </c>
      <c r="L21" s="20"/>
      <c r="M21" s="20"/>
      <c r="N21" s="21"/>
      <c r="O21" s="14"/>
      <c r="P21" s="14"/>
      <c r="Q21" s="14"/>
      <c r="R21" s="22">
        <f t="shared" si="1"/>
        <v>0</v>
      </c>
    </row>
    <row r="22" spans="2:18" s="23" customFormat="1">
      <c r="B22" s="26"/>
      <c r="C22" s="17"/>
      <c r="D22" s="17"/>
      <c r="E22" s="17"/>
      <c r="F22" s="18"/>
      <c r="G22" s="17"/>
      <c r="H22" s="18"/>
      <c r="I22" s="17"/>
      <c r="J22" s="18"/>
      <c r="K22" s="19">
        <f t="shared" si="0"/>
        <v>0</v>
      </c>
      <c r="L22" s="20"/>
      <c r="M22" s="20"/>
      <c r="N22" s="21"/>
      <c r="O22" s="14"/>
      <c r="P22" s="14"/>
      <c r="Q22" s="14"/>
      <c r="R22" s="22">
        <f t="shared" si="1"/>
        <v>0</v>
      </c>
    </row>
    <row r="23" spans="2:18" s="23" customFormat="1">
      <c r="B23" s="26"/>
      <c r="C23" s="17"/>
      <c r="D23" s="17"/>
      <c r="E23" s="17"/>
      <c r="F23" s="18"/>
      <c r="G23" s="17"/>
      <c r="H23" s="18"/>
      <c r="I23" s="17"/>
      <c r="J23" s="18"/>
      <c r="K23" s="19">
        <f t="shared" si="0"/>
        <v>0</v>
      </c>
      <c r="L23" s="20"/>
      <c r="M23" s="20"/>
      <c r="N23" s="21"/>
      <c r="O23" s="14"/>
      <c r="P23" s="14"/>
      <c r="Q23" s="14"/>
      <c r="R23" s="22">
        <f t="shared" si="1"/>
        <v>0</v>
      </c>
    </row>
    <row r="24" spans="2:18" s="23" customFormat="1">
      <c r="B24" s="26"/>
      <c r="C24" s="17"/>
      <c r="D24" s="17"/>
      <c r="E24" s="17"/>
      <c r="F24" s="18"/>
      <c r="G24" s="17"/>
      <c r="H24" s="18"/>
      <c r="I24" s="17"/>
      <c r="J24" s="18"/>
      <c r="K24" s="19">
        <f t="shared" si="0"/>
        <v>0</v>
      </c>
      <c r="L24" s="20"/>
      <c r="M24" s="20"/>
      <c r="N24" s="21"/>
      <c r="O24" s="14"/>
      <c r="P24" s="14"/>
      <c r="Q24" s="14"/>
      <c r="R24" s="22">
        <f t="shared" si="1"/>
        <v>0</v>
      </c>
    </row>
    <row r="25" spans="2:18" s="23" customFormat="1">
      <c r="B25" s="26"/>
      <c r="C25" s="17"/>
      <c r="D25" s="17"/>
      <c r="E25" s="17"/>
      <c r="F25" s="18"/>
      <c r="G25" s="17"/>
      <c r="H25" s="18"/>
      <c r="I25" s="17"/>
      <c r="J25" s="18"/>
      <c r="K25" s="19">
        <f t="shared" si="0"/>
        <v>0</v>
      </c>
      <c r="L25" s="20"/>
      <c r="M25" s="20"/>
      <c r="N25" s="21"/>
      <c r="O25" s="14"/>
      <c r="P25" s="14"/>
      <c r="Q25" s="14"/>
      <c r="R25" s="22">
        <f t="shared" si="1"/>
        <v>0</v>
      </c>
    </row>
    <row r="26" spans="2:18" s="23" customFormat="1">
      <c r="B26" s="26"/>
      <c r="C26" s="17"/>
      <c r="D26" s="17"/>
      <c r="E26" s="17"/>
      <c r="F26" s="18"/>
      <c r="G26" s="17"/>
      <c r="H26" s="18"/>
      <c r="I26" s="17"/>
      <c r="J26" s="18"/>
      <c r="K26" s="19">
        <f t="shared" si="0"/>
        <v>0</v>
      </c>
      <c r="L26" s="20"/>
      <c r="M26" s="20"/>
      <c r="N26" s="21"/>
      <c r="O26" s="14"/>
      <c r="P26" s="14"/>
      <c r="Q26" s="14"/>
      <c r="R26" s="22">
        <f t="shared" si="1"/>
        <v>0</v>
      </c>
    </row>
  </sheetData>
  <mergeCells count="23">
    <mergeCell ref="J4:M4"/>
    <mergeCell ref="N5:R5"/>
    <mergeCell ref="N2:R2"/>
    <mergeCell ref="B3:E3"/>
    <mergeCell ref="B4:E4"/>
    <mergeCell ref="F3:I3"/>
    <mergeCell ref="F4:I4"/>
    <mergeCell ref="J3:M3"/>
    <mergeCell ref="N3:R3"/>
    <mergeCell ref="N4:R4"/>
    <mergeCell ref="D2:M2"/>
    <mergeCell ref="G5:G6"/>
    <mergeCell ref="K5:K6"/>
    <mergeCell ref="L5:L6"/>
    <mergeCell ref="M5:M6"/>
    <mergeCell ref="B5:B6"/>
    <mergeCell ref="I5:I6"/>
    <mergeCell ref="J5:J6"/>
    <mergeCell ref="C5:C6"/>
    <mergeCell ref="D5:D6"/>
    <mergeCell ref="E5:E6"/>
    <mergeCell ref="F5:F6"/>
    <mergeCell ref="H5:H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412E-4179-4AAE-9299-98DD6ED874EB}">
  <dimension ref="B2:E27"/>
  <sheetViews>
    <sheetView showGridLines="0" workbookViewId="0">
      <selection activeCell="E9" sqref="E9"/>
    </sheetView>
  </sheetViews>
  <sheetFormatPr defaultRowHeight="14.25"/>
  <cols>
    <col min="1" max="1" width="2.85546875" style="2" customWidth="1"/>
    <col min="2" max="2" width="10" style="1" customWidth="1"/>
    <col min="3" max="3" width="44.5703125" style="1" customWidth="1"/>
    <col min="4" max="5" width="35.7109375" style="1" customWidth="1"/>
    <col min="6" max="16384" width="9.140625" style="2"/>
  </cols>
  <sheetData>
    <row r="2" spans="2:5" s="9" customFormat="1">
      <c r="B2" s="48" t="s">
        <v>139</v>
      </c>
      <c r="C2" s="48"/>
      <c r="D2" s="48"/>
      <c r="E2" s="48"/>
    </row>
    <row r="3" spans="2:5" s="9" customFormat="1">
      <c r="B3" s="5" t="s">
        <v>140</v>
      </c>
      <c r="C3" s="5" t="s">
        <v>141</v>
      </c>
      <c r="D3" s="5" t="s">
        <v>142</v>
      </c>
      <c r="E3" s="5" t="s">
        <v>143</v>
      </c>
    </row>
    <row r="4" spans="2:5" s="9" customFormat="1">
      <c r="B4" s="6">
        <v>10</v>
      </c>
      <c r="C4" s="6" t="s">
        <v>144</v>
      </c>
      <c r="D4" s="6" t="s">
        <v>145</v>
      </c>
      <c r="E4" s="6" t="s">
        <v>146</v>
      </c>
    </row>
    <row r="5" spans="2:5" s="9" customFormat="1">
      <c r="B5" s="6">
        <v>9</v>
      </c>
      <c r="C5" s="6" t="s">
        <v>147</v>
      </c>
      <c r="D5" s="6" t="s">
        <v>145</v>
      </c>
      <c r="E5" s="6" t="s">
        <v>148</v>
      </c>
    </row>
    <row r="6" spans="2:5" s="9" customFormat="1">
      <c r="B6" s="6">
        <v>8</v>
      </c>
      <c r="C6" s="6" t="s">
        <v>149</v>
      </c>
      <c r="D6" s="6" t="s">
        <v>150</v>
      </c>
      <c r="E6" s="6" t="s">
        <v>151</v>
      </c>
    </row>
    <row r="7" spans="2:5" s="9" customFormat="1">
      <c r="B7" s="7">
        <v>7</v>
      </c>
      <c r="C7" s="7" t="s">
        <v>152</v>
      </c>
      <c r="D7" s="7" t="s">
        <v>150</v>
      </c>
      <c r="E7" s="7" t="s">
        <v>153</v>
      </c>
    </row>
    <row r="8" spans="2:5" s="9" customFormat="1">
      <c r="B8" s="7">
        <v>6</v>
      </c>
      <c r="C8" s="7" t="s">
        <v>154</v>
      </c>
      <c r="D8" s="7" t="s">
        <v>155</v>
      </c>
      <c r="E8" s="7" t="s">
        <v>156</v>
      </c>
    </row>
    <row r="9" spans="2:5" s="9" customFormat="1">
      <c r="B9" s="7">
        <v>5</v>
      </c>
      <c r="C9" s="7" t="s">
        <v>157</v>
      </c>
      <c r="D9" s="7" t="s">
        <v>155</v>
      </c>
      <c r="E9" s="7" t="s">
        <v>158</v>
      </c>
    </row>
    <row r="10" spans="2:5" s="9" customFormat="1">
      <c r="B10" s="7">
        <v>4</v>
      </c>
      <c r="C10" s="7" t="s">
        <v>159</v>
      </c>
      <c r="D10" s="7" t="s">
        <v>155</v>
      </c>
      <c r="E10" s="7" t="s">
        <v>160</v>
      </c>
    </row>
    <row r="11" spans="2:5" s="9" customFormat="1">
      <c r="B11" s="4">
        <v>3</v>
      </c>
      <c r="C11" s="4" t="s">
        <v>161</v>
      </c>
      <c r="D11" s="4" t="s">
        <v>162</v>
      </c>
      <c r="E11" s="4" t="s">
        <v>163</v>
      </c>
    </row>
    <row r="12" spans="2:5" s="9" customFormat="1" ht="28.5">
      <c r="B12" s="4">
        <v>2</v>
      </c>
      <c r="C12" s="4" t="s">
        <v>164</v>
      </c>
      <c r="D12" s="4" t="s">
        <v>162</v>
      </c>
      <c r="E12" s="4" t="s">
        <v>165</v>
      </c>
    </row>
    <row r="13" spans="2:5" s="9" customFormat="1">
      <c r="B13" s="4">
        <v>1</v>
      </c>
      <c r="C13" s="4" t="s">
        <v>166</v>
      </c>
      <c r="D13" s="4" t="s">
        <v>167</v>
      </c>
      <c r="E13" s="4" t="s">
        <v>168</v>
      </c>
    </row>
    <row r="14" spans="2:5" s="9" customFormat="1">
      <c r="B14" s="3"/>
      <c r="C14" s="3"/>
      <c r="D14" s="3"/>
      <c r="E14" s="3"/>
    </row>
    <row r="15" spans="2:5" s="9" customFormat="1">
      <c r="B15" s="3"/>
      <c r="C15" s="3"/>
      <c r="D15" s="3"/>
      <c r="E15" s="3"/>
    </row>
    <row r="16" spans="2:5" s="9" customFormat="1">
      <c r="B16" s="49" t="s">
        <v>169</v>
      </c>
      <c r="C16" s="49"/>
      <c r="D16" s="49"/>
      <c r="E16" s="49"/>
    </row>
    <row r="17" spans="2:5" s="9" customFormat="1">
      <c r="B17" s="8" t="s">
        <v>140</v>
      </c>
      <c r="C17" s="8" t="s">
        <v>141</v>
      </c>
      <c r="D17" s="8" t="s">
        <v>142</v>
      </c>
      <c r="E17" s="8" t="s">
        <v>143</v>
      </c>
    </row>
    <row r="18" spans="2:5" s="9" customFormat="1" ht="28.5">
      <c r="B18" s="6">
        <v>10</v>
      </c>
      <c r="C18" s="6" t="s">
        <v>170</v>
      </c>
      <c r="D18" s="6" t="s">
        <v>171</v>
      </c>
      <c r="E18" s="6" t="s">
        <v>172</v>
      </c>
    </row>
    <row r="19" spans="2:5" s="9" customFormat="1" ht="28.5">
      <c r="B19" s="6">
        <v>9</v>
      </c>
      <c r="C19" s="6" t="s">
        <v>173</v>
      </c>
      <c r="D19" s="6" t="s">
        <v>174</v>
      </c>
      <c r="E19" s="6" t="s">
        <v>175</v>
      </c>
    </row>
    <row r="20" spans="2:5" s="9" customFormat="1" ht="28.5">
      <c r="B20" s="6">
        <v>8</v>
      </c>
      <c r="C20" s="6" t="s">
        <v>176</v>
      </c>
      <c r="D20" s="6" t="s">
        <v>177</v>
      </c>
      <c r="E20" s="6" t="s">
        <v>178</v>
      </c>
    </row>
    <row r="21" spans="2:5" s="9" customFormat="1">
      <c r="B21" s="7">
        <v>7</v>
      </c>
      <c r="C21" s="7" t="s">
        <v>179</v>
      </c>
      <c r="D21" s="7" t="s">
        <v>180</v>
      </c>
      <c r="E21" s="7" t="s">
        <v>181</v>
      </c>
    </row>
    <row r="22" spans="2:5" s="9" customFormat="1" ht="28.5">
      <c r="B22" s="7">
        <v>6</v>
      </c>
      <c r="C22" s="7" t="s">
        <v>182</v>
      </c>
      <c r="D22" s="7" t="s">
        <v>183</v>
      </c>
      <c r="E22" s="7" t="s">
        <v>184</v>
      </c>
    </row>
    <row r="23" spans="2:5" s="9" customFormat="1" ht="28.5">
      <c r="B23" s="7">
        <v>5</v>
      </c>
      <c r="C23" s="7" t="s">
        <v>185</v>
      </c>
      <c r="D23" s="7" t="s">
        <v>186</v>
      </c>
      <c r="E23" s="7" t="s">
        <v>187</v>
      </c>
    </row>
    <row r="24" spans="2:5" s="9" customFormat="1" ht="28.5">
      <c r="B24" s="7">
        <v>4</v>
      </c>
      <c r="C24" s="7" t="s">
        <v>188</v>
      </c>
      <c r="D24" s="7" t="s">
        <v>189</v>
      </c>
      <c r="E24" s="7" t="s">
        <v>190</v>
      </c>
    </row>
    <row r="25" spans="2:5" s="9" customFormat="1" ht="28.5">
      <c r="B25" s="4">
        <v>3</v>
      </c>
      <c r="C25" s="4" t="s">
        <v>191</v>
      </c>
      <c r="D25" s="4" t="s">
        <v>192</v>
      </c>
      <c r="E25" s="4" t="s">
        <v>193</v>
      </c>
    </row>
    <row r="26" spans="2:5" s="9" customFormat="1" ht="28.5">
      <c r="B26" s="4">
        <v>2</v>
      </c>
      <c r="C26" s="4" t="s">
        <v>194</v>
      </c>
      <c r="D26" s="4" t="s">
        <v>195</v>
      </c>
      <c r="E26" s="4" t="s">
        <v>196</v>
      </c>
    </row>
    <row r="27" spans="2:5" s="9" customFormat="1" ht="28.5">
      <c r="B27" s="4">
        <v>1</v>
      </c>
      <c r="C27" s="4" t="s">
        <v>197</v>
      </c>
      <c r="D27" s="4" t="s">
        <v>198</v>
      </c>
      <c r="E27" s="4" t="s">
        <v>199</v>
      </c>
    </row>
  </sheetData>
  <mergeCells count="2">
    <mergeCell ref="B2:E2"/>
    <mergeCell ref="B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Vserv Technologies Pte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Shinto Mathew</dc:creator>
  <cp:keywords/>
  <dc:description/>
  <cp:lastModifiedBy>Harvinder Sokhi</cp:lastModifiedBy>
  <cp:revision/>
  <dcterms:created xsi:type="dcterms:W3CDTF">2009-11-04T05:12:15Z</dcterms:created>
  <dcterms:modified xsi:type="dcterms:W3CDTF">2024-11-13T17:30:14Z</dcterms:modified>
  <cp:category/>
  <cp:contentStatus/>
</cp:coreProperties>
</file>